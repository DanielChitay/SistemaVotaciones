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cion de Co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<sst xmlns="http://schemas.openxmlformats.org/spreadsheetml/2006/main" count="73" uniqueCount="72">
  <si>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ESTIMACION DE COSTOS — SISTEMA DE VOTACIONES</t>
  </si>
  <si>
    <t xml:space="preserve">Analisis de Sistemas 1  |  Equipo: Francisco, Josue, Nery, Melcon  |  Mayo 2025</t>
  </si>
  <si>
    <t xml:space="preserve">Ticket Jira: HU-25  |  Project Manager: Cruz Francisco Estrada</t>
  </si>
  <si>
    <t xml:space="preserve">1. COSTO DE DESARROLLO (Horas / Persona)</t>
  </si>
  <si>
    <t xml:space="preserve">Integrante</t>
  </si>
  <si>
    <t xml:space="preserve">Rol</t>
  </si>
  <si>
    <t xml:space="preserve">Horas Sprint 1</t>
  </si>
  <si>
    <t xml:space="preserve">Horas Sprint 2</t>
  </si>
  <si>
    <t xml:space="preserve">Total Horas</t>
  </si>
  <si>
    <t xml:space="preserve">Tarifa/Hora (Q)</t>
  </si>
  <si>
    <t xml:space="preserve">Costo Total (Q)</t>
  </si>
  <si>
    <t xml:space="preserve">Observacion</t>
  </si>
  <si>
    <t xml:space="preserve">Francisco</t>
  </si>
  <si>
    <t xml:space="preserve">Project Manager</t>
  </si>
  <si>
    <t xml:space="preserve">Coordinacion, Jira, documentacion</t>
  </si>
  <si>
    <t xml:space="preserve">Josue</t>
  </si>
  <si>
    <t xml:space="preserve">Desarrollador</t>
  </si>
  <si>
    <t xml:space="preserve">Codigo Python, GitHub, deploy</t>
  </si>
  <si>
    <t xml:space="preserve">Nery</t>
  </si>
  <si>
    <t xml:space="preserve">Analista</t>
  </si>
  <si>
    <t xml:space="preserve">Historias de usuario, BD, prototipos</t>
  </si>
  <si>
    <t xml:space="preserve">Melcon</t>
  </si>
  <si>
    <t xml:space="preserve">QA / Tester</t>
  </si>
  <si>
    <t xml:space="preserve">Casos de prueba, reporte QA</t>
  </si>
  <si>
    <t xml:space="preserve">SUBTOTAL DESARROLLO</t>
  </si>
  <si>
    <t xml:space="preserve">2. COSTOS DE INFRAESTRUCTURA Y HERRAMIENTAS</t>
  </si>
  <si>
    <t xml:space="preserve">Item</t>
  </si>
  <si>
    <t xml:space="preserve">Descripcion</t>
  </si>
  <si>
    <t xml:space="preserve">Tipo</t>
  </si>
  <si>
    <t xml:space="preserve">Plan</t>
  </si>
  <si>
    <t xml:space="preserve">Costo Mensual (Q)</t>
  </si>
  <si>
    <t xml:space="preserve">Meses</t>
  </si>
  <si>
    <t xml:space="preserve">Total (Q)</t>
  </si>
  <si>
    <t xml:space="preserve">Justificacion</t>
  </si>
  <si>
    <t xml:space="preserve">GitHub</t>
  </si>
  <si>
    <t xml:space="preserve">Repositorio de codigo fuente</t>
  </si>
  <si>
    <t xml:space="preserve">Control versiones</t>
  </si>
  <si>
    <t xml:space="preserve">Free (publico)</t>
  </si>
  <si>
    <t xml:space="preserve">Plan gratuito ilimitado para estudiantes</t>
  </si>
  <si>
    <t xml:space="preserve">Jira</t>
  </si>
  <si>
    <t xml:space="preserve">Gestion del proyecto Scrum</t>
  </si>
  <si>
    <t xml:space="preserve">Herramienta PM</t>
  </si>
  <si>
    <t xml:space="preserve">Free (hasta 10 usuarios)</t>
  </si>
  <si>
    <t xml:space="preserve">Plan gratuito suficiente para el equipo</t>
  </si>
  <si>
    <t xml:space="preserve">PythonAnywhere</t>
  </si>
  <si>
    <t xml:space="preserve">Hosting del sistema web</t>
  </si>
  <si>
    <t xml:space="preserve">Servidor nube</t>
  </si>
  <si>
    <t xml:space="preserve">Free tier</t>
  </si>
  <si>
    <t xml:space="preserve">Suficiente para demo y presentacion</t>
  </si>
  <si>
    <t xml:space="preserve">SQLite</t>
  </si>
  <si>
    <t xml:space="preserve">Base de datos del sistema</t>
  </si>
  <si>
    <t xml:space="preserve">BD local</t>
  </si>
  <si>
    <t xml:space="preserve">Incluida en Python</t>
  </si>
  <si>
    <t xml:space="preserve">No requiere instalacion adicional</t>
  </si>
  <si>
    <t xml:space="preserve">VS Code</t>
  </si>
  <si>
    <t xml:space="preserve">Editor de codigo</t>
  </si>
  <si>
    <t xml:space="preserve">IDE</t>
  </si>
  <si>
    <t xml:space="preserve">Free</t>
  </si>
  <si>
    <t xml:space="preserve">Open source, uso libre</t>
  </si>
  <si>
    <t xml:space="preserve">Canva / Figma</t>
  </si>
  <si>
    <t xml:space="preserve">Diseno de prototipos</t>
  </si>
  <si>
    <t xml:space="preserve">Diseno UI</t>
  </si>
  <si>
    <t xml:space="preserve">Plan gratuito para prototipos basicos</t>
  </si>
  <si>
    <t xml:space="preserve">SUBTOTAL INFRAESTRUCTURA</t>
  </si>
  <si>
    <t xml:space="preserve">3. RESUMEN Y COSTO TOTAL DEL PROYECTO</t>
  </si>
  <si>
    <t xml:space="preserve">Costo total de desarrollo</t>
  </si>
  <si>
    <t xml:space="preserve">Costo total infraestructura</t>
  </si>
  <si>
    <t xml:space="preserve">Licencias de software</t>
  </si>
  <si>
    <t xml:space="preserve">0</t>
  </si>
  <si>
    <t xml:space="preserve">Imprevistos (5%)</t>
  </si>
  <si>
    <t xml:space="preserve">COSTO TOTAL DEL PROYECTO</t>
  </si>
  <si>
    <t xml:space="preserve">NOTAS: Todos los costos de infraestructura son Q0 porque se usan herramientas gratuitas (GitHub Free, Jira Free, PythonAnywhere Free, SQLite). El costo real del proyecto es el tiempo de los integrantes.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</si>
</sst>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customFormat="false" ht="19.5" hidden="false" customHeight="true" outlineLevel="0" collapsed="false">
      <c r="A7" s="6" t="s">
        <v>12</v>
      </c>
      <c r="B7" s="6" t="s">
        <v>13</v>
      </c>
      <c r="C7" s="7" t="n">
        <v>15</v>
      </c>
      <c r="D7" s="7" t="n">
        <v>10</v>
      </c>
      <c r="E7" s="7" t="n">
        <f aca="false">C7+D7</f>
        <v>25</v>
      </c>
      <c r="F7" s="7" t="n">
        <v>50</v>
      </c>
      <c r="G7" s="7" t="n">
        <f aca="false">E7*F7</f>
        <v>1250</v>
      </c>
      <c r="H7" s="6" t="s">
        <v>14</v>
      </c>
    </row>
    <row r="8" customFormat="false" ht="19.5" hidden="false" customHeight="true" outlineLevel="0" collapsed="false">
      <c r="A8" s="8" t="s">
        <v>15</v>
      </c>
      <c r="B8" s="8" t="s">
        <v>16</v>
      </c>
      <c r="C8" s="9" t="n">
        <v>25</v>
      </c>
      <c r="D8" s="9" t="n">
        <v>20</v>
      </c>
      <c r="E8" s="9" t="n">
        <f aca="false">C8+D8</f>
        <v>45</v>
      </c>
      <c r="F8" s="9" t="n">
        <v>60</v>
      </c>
      <c r="G8" s="9" t="n">
        <f aca="false">E8*F8</f>
        <v>2700</v>
      </c>
      <c r="H8" s="8" t="s">
        <v>17</v>
      </c>
    </row>
    <row r="9" customFormat="false" ht="19.5" hidden="false" customHeight="true" outlineLevel="0" collapsed="false">
      <c r="A9" s="6" t="s">
        <v>18</v>
      </c>
      <c r="B9" s="6" t="s">
        <v>19</v>
      </c>
      <c r="C9" s="7" t="n">
        <v>20</v>
      </c>
      <c r="D9" s="7" t="n">
        <v>10</v>
      </c>
      <c r="E9" s="7" t="n">
        <f aca="false">C9+D9</f>
        <v>30</v>
      </c>
      <c r="F9" s="7" t="n">
        <v>45</v>
      </c>
      <c r="G9" s="7" t="n">
        <f aca="false">E9*F9</f>
        <v>1350</v>
      </c>
      <c r="H9" s="6" t="s">
        <v>20</v>
      </c>
    </row>
    <row r="10" customFormat="false" ht="19.5" hidden="false" customHeight="true" outlineLevel="0" collapsed="false">
      <c r="A10" s="8" t="s">
        <v>21</v>
      </c>
      <c r="B10" s="8" t="s">
        <v>22</v>
      </c>
      <c r="C10" s="9" t="n">
        <v>10</v>
      </c>
      <c r="D10" s="9" t="n">
        <v>15</v>
      </c>
      <c r="E10" s="9" t="n">
        <f aca="false">C10+D10</f>
        <v>25</v>
      </c>
      <c r="F10" s="9" t="n">
        <v>40</v>
      </c>
      <c r="G10" s="9" t="n">
        <f aca="false">E10*F10</f>
        <v>1000</v>
      </c>
      <c r="H10" s="8" t="s">
        <v>23</v>
      </c>
    </row>
    <row r="11" customFormat="false" ht="21.75" hidden="false" customHeight="true" outlineLevel="0" collapsed="false">
      <c r="A11" s="10" t="s">
        <v>24</v>
      </c>
      <c r="B11" s="10"/>
      <c r="C11" s="10"/>
      <c r="D11" s="10"/>
      <c r="E11" s="11" t="n">
        <f aca="false">SUM(E7:E10)</f>
        <v>125</v>
      </c>
      <c r="F11" s="11"/>
      <c r="G11" s="11" t="n">
        <f aca="false">SUM(G7:G10)</f>
        <v>6300</v>
      </c>
      <c r="H11" s="11"/>
    </row>
    <row r="13" customFormat="false" ht="21.75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18" hidden="false" customHeight="true" outlineLevel="0" collapsed="false">
      <c r="A14" s="5" t="s">
        <v>26</v>
      </c>
      <c r="B14" s="5" t="s">
        <v>27</v>
      </c>
      <c r="C14" s="5" t="s">
        <v>28</v>
      </c>
      <c r="D14" s="5" t="s">
        <v>29</v>
      </c>
      <c r="E14" s="5" t="s">
        <v>30</v>
      </c>
      <c r="F14" s="5" t="s">
        <v>31</v>
      </c>
      <c r="G14" s="5" t="s">
        <v>32</v>
      </c>
      <c r="H14" s="5" t="s">
        <v>33</v>
      </c>
    </row>
    <row r="15" customFormat="false" ht="19.5" hidden="false" customHeight="true" outlineLevel="0" collapsed="false">
      <c r="A15" s="6" t="s">
        <v>34</v>
      </c>
      <c r="B15" s="6" t="s">
        <v>35</v>
      </c>
      <c r="C15" s="6" t="s">
        <v>36</v>
      </c>
      <c r="D15" s="6" t="s">
        <v>37</v>
      </c>
      <c r="E15" s="7" t="n">
        <v>0</v>
      </c>
      <c r="F15" s="7" t="n">
        <v>3</v>
      </c>
      <c r="G15" s="7" t="n">
        <f aca="false">E15*F15</f>
        <v>0</v>
      </c>
      <c r="H15" s="6" t="s">
        <v>38</v>
      </c>
    </row>
    <row r="16" customFormat="false" ht="19.5" hidden="false" customHeight="true" outlineLevel="0" collapsed="false">
      <c r="A16" s="8" t="s">
        <v>39</v>
      </c>
      <c r="B16" s="8" t="s">
        <v>40</v>
      </c>
      <c r="C16" s="8" t="s">
        <v>41</v>
      </c>
      <c r="D16" s="8" t="s">
        <v>42</v>
      </c>
      <c r="E16" s="9" t="n">
        <v>0</v>
      </c>
      <c r="F16" s="9" t="n">
        <v>3</v>
      </c>
      <c r="G16" s="9" t="n">
        <f aca="false">E16*F16</f>
        <v>0</v>
      </c>
      <c r="H16" s="8" t="s">
        <v>43</v>
      </c>
    </row>
    <row r="17" customFormat="false" ht="19.5" hidden="false" customHeight="true" outlineLevel="0" collapsed="false">
      <c r="A17" s="6" t="s">
        <v>44</v>
      </c>
      <c r="B17" s="6" t="s">
        <v>45</v>
      </c>
      <c r="C17" s="6" t="s">
        <v>46</v>
      </c>
      <c r="D17" s="6" t="s">
        <v>47</v>
      </c>
      <c r="E17" s="7" t="n">
        <v>0</v>
      </c>
      <c r="F17" s="7" t="n">
        <v>3</v>
      </c>
      <c r="G17" s="7" t="n">
        <f aca="false">E17*F17</f>
        <v>0</v>
      </c>
      <c r="H17" s="6" t="s">
        <v>48</v>
      </c>
    </row>
    <row r="18" customFormat="false" ht="19.5" hidden="false" customHeight="true" outlineLevel="0" collapsed="false">
      <c r="A18" s="8" t="s">
        <v>49</v>
      </c>
      <c r="B18" s="8" t="s">
        <v>50</v>
      </c>
      <c r="C18" s="8" t="s">
        <v>51</v>
      </c>
      <c r="D18" s="8" t="s">
        <v>52</v>
      </c>
      <c r="E18" s="9" t="n">
        <v>0</v>
      </c>
      <c r="F18" s="9" t="n">
        <v>3</v>
      </c>
      <c r="G18" s="9" t="n">
        <f aca="false">E18*F18</f>
        <v>0</v>
      </c>
      <c r="H18" s="8" t="s">
        <v>53</v>
      </c>
    </row>
    <row r="19" customFormat="false" ht="19.5" hidden="false" customHeight="true" outlineLevel="0" collapsed="false">
      <c r="A19" s="6" t="s">
        <v>54</v>
      </c>
      <c r="B19" s="6" t="s">
        <v>55</v>
      </c>
      <c r="C19" s="6" t="s">
        <v>56</v>
      </c>
      <c r="D19" s="6" t="s">
        <v>57</v>
      </c>
      <c r="E19" s="7" t="n">
        <v>0</v>
      </c>
      <c r="F19" s="7" t="n">
        <v>3</v>
      </c>
      <c r="G19" s="7" t="n">
        <f aca="false">E19*F19</f>
        <v>0</v>
      </c>
      <c r="H19" s="6" t="s">
        <v>58</v>
      </c>
    </row>
    <row r="20" customFormat="false" ht="19.5" hidden="false" customHeight="true" outlineLevel="0" collapsed="false">
      <c r="A20" s="8" t="s">
        <v>59</v>
      </c>
      <c r="B20" s="8" t="s">
        <v>60</v>
      </c>
      <c r="C20" s="8" t="s">
        <v>61</v>
      </c>
      <c r="D20" s="8" t="s">
        <v>57</v>
      </c>
      <c r="E20" s="9" t="n">
        <v>0</v>
      </c>
      <c r="F20" s="9" t="n">
        <v>1</v>
      </c>
      <c r="G20" s="9" t="n">
        <f aca="false">E20*F20</f>
        <v>0</v>
      </c>
      <c r="H20" s="8" t="s">
        <v>62</v>
      </c>
    </row>
    <row r="21" customFormat="false" ht="21.75" hidden="false" customHeight="true" outlineLevel="0" collapsed="false">
      <c r="A21" s="10" t="s">
        <v>63</v>
      </c>
      <c r="B21" s="10"/>
      <c r="C21" s="10"/>
      <c r="D21" s="10"/>
      <c r="E21" s="11"/>
      <c r="F21" s="11"/>
      <c r="G21" s="11" t="n">
        <f aca="false">SUM(G15:G20)</f>
        <v>0</v>
      </c>
      <c r="H21" s="11"/>
    </row>
    <row r="23" customFormat="false" ht="21.75" hidden="false" customHeight="true" outlineLevel="0" collapsed="false">
      <c r="A23" s="4" t="s">
        <v>64</v>
      </c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12" t="s">
        <v>65</v>
      </c>
      <c r="B24" s="12"/>
      <c r="C24" s="12"/>
      <c r="D24" s="12"/>
      <c r="E24" s="12"/>
      <c r="F24" s="12"/>
      <c r="G24" s="13" t="n">
        <f aca="false">G11</f>
        <v>6300</v>
      </c>
      <c r="H24" s="14"/>
    </row>
    <row r="25" customFormat="false" ht="21.75" hidden="false" customHeight="true" outlineLevel="0" collapsed="false">
      <c r="A25" s="15" t="s">
        <v>66</v>
      </c>
      <c r="B25" s="15"/>
      <c r="C25" s="15"/>
      <c r="D25" s="15"/>
      <c r="E25" s="15"/>
      <c r="F25" s="15"/>
      <c r="G25" s="16" t="n">
        <f aca="false">G21</f>
        <v>0</v>
      </c>
      <c r="H25" s="17"/>
    </row>
    <row r="26" customFormat="false" ht="21.75" hidden="false" customHeight="true" outlineLevel="0" collapsed="false">
      <c r="A26" s="12" t="s">
        <v>67</v>
      </c>
      <c r="B26" s="12"/>
      <c r="C26" s="12"/>
      <c r="D26" s="12"/>
      <c r="E26" s="12"/>
      <c r="F26" s="12"/>
      <c r="G26" s="13" t="s">
        <v>68</v>
      </c>
      <c r="H26" s="14"/>
    </row>
    <row r="27" customFormat="false" ht="21.75" hidden="false" customHeight="true" outlineLevel="0" collapsed="false">
      <c r="A27" s="18" t="s">
        <v>69</v>
      </c>
      <c r="B27" s="18"/>
      <c r="C27" s="18"/>
      <c r="D27" s="18"/>
      <c r="E27" s="18"/>
      <c r="F27" s="18"/>
      <c r="G27" s="19" t="n">
        <f aca="false">(G24+G25+G26)*0.05</f>
        <v>315</v>
      </c>
      <c r="H27" s="20"/>
    </row>
    <row r="28" customFormat="false" ht="27.75" hidden="false" customHeight="true" outlineLevel="0" collapsed="false">
      <c r="A28" s="21" t="s">
        <v>70</v>
      </c>
      <c r="B28" s="21"/>
      <c r="C28" s="21"/>
      <c r="D28" s="21"/>
      <c r="E28" s="21"/>
      <c r="F28" s="21"/>
      <c r="G28" s="22" t="n">
        <f aca="false">SUM(G24:G27)</f>
        <v>6615</v>
      </c>
      <c r="H28" s="11"/>
    </row>
    <row r="30" customFormat="false" ht="30" hidden="false" customHeight="true" outlineLevel="0" collapsed="false">
      <c r="A30" s="23" t="s">
        <v>71</v>
      </c>
      <c r="B30" s="23"/>
      <c r="C30" s="23"/>
      <c r="D30" s="23"/>
      <c r="E30" s="23"/>
      <c r="F30" s="23"/>
      <c r="G30" s="23"/>
      <c r="H30" s="23"/>
    </row>
  </sheetData>
  <mergeCells count="14">
    <mergeCell ref="A1:H1"/>
    <mergeCell ref="A2:H2"/>
    <mergeCell ref="A3:H3"/>
    <mergeCell ref="A5:H5"/>
    <mergeCell ref="A11:D11"/>
    <mergeCell ref="A13:H13"/>
    <mergeCell ref="A21:D21"/>
    <mergeCell ref="A23:H23"/>
    <mergeCell ref="A24:F24"/>
    <mergeCell ref="A25:F25"/>
    <mergeCell ref="A26:F26"/>
    <mergeCell ref="A27:F27"/>
    <mergeCell ref="A28:F28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2026-05-16T23:21:54Z</dcterms:created>
  <dc:creator>openpyxl</dc:creator>
  <dc:description/>
  <dc:language>en-US</dc:language>
  <cp:lastModifiedBy/>
  <dcterms:modified xsi:type="dcterms:W3CDTF">2026-05-16T23:21:54Z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